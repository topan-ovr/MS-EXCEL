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an\Project\"/>
    </mc:Choice>
  </mc:AlternateContent>
  <xr:revisionPtr revIDLastSave="0" documentId="13_ncr:1_{BEB2A4D2-1998-4AFB-980F-B58D739608DA}" xr6:coauthVersionLast="36" xr6:coauthVersionMax="36" xr10:uidLastSave="{00000000-0000-0000-0000-000000000000}"/>
  <bookViews>
    <workbookView xWindow="0" yWindow="0" windowWidth="20490" windowHeight="7530" xr2:uid="{EC67BE81-1D6C-4022-B2F2-C0165B4C78AF}"/>
  </bookViews>
  <sheets>
    <sheet name="home" sheetId="1" r:id="rId1"/>
    <sheet name="dbSBJPutera" sheetId="3" r:id="rId2"/>
    <sheet name="dbSBJPuteri" sheetId="6" r:id="rId3"/>
    <sheet name="dbVJPutera" sheetId="7" r:id="rId4"/>
    <sheet name="dbVJPuteri" sheetId="8" r:id="rId5"/>
    <sheet name="standingBoardJump" sheetId="4" r:id="rId6"/>
    <sheet name="verticalJump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5" l="1"/>
  <c r="E41" i="5"/>
  <c r="E47" i="4"/>
  <c r="E40" i="4"/>
</calcChain>
</file>

<file path=xl/sharedStrings.xml><?xml version="1.0" encoding="utf-8"?>
<sst xmlns="http://schemas.openxmlformats.org/spreadsheetml/2006/main" count="181" uniqueCount="68">
  <si>
    <t>Home</t>
  </si>
  <si>
    <t>WELCOME!</t>
  </si>
  <si>
    <t>Ini adalah halaman home dari aplikasi pengukuran daya ledak otot tungkai</t>
  </si>
  <si>
    <t>Dalam aplikasi ini memuat dua sub test berupa:</t>
  </si>
  <si>
    <t>1) Standing Board Jump</t>
  </si>
  <si>
    <t>Nama</t>
  </si>
  <si>
    <t>Nilai Standing Board Jump</t>
  </si>
  <si>
    <t>Keterangan</t>
  </si>
  <si>
    <t>Standing Board Jump</t>
  </si>
  <si>
    <t>Vertical Jump</t>
  </si>
  <si>
    <t>Adalah tes lompat jauh tanpa adanya awalan guna mengukur daya ledak otot tungkai ke arah depan.</t>
  </si>
  <si>
    <t>Adalah tes lompat tegak guna mengukur daya ledak otot tungkai ke arah atas.</t>
  </si>
  <si>
    <t>Prosedur pelaksaan tes ini sebagai berikut</t>
  </si>
  <si>
    <t>1) Atlet berlari di belakang garis batas, kedua kaki sejajar, lutut ditekuk dan kedua lengan kebelakang.</t>
  </si>
  <si>
    <t>2) Tanpa menggunakan awalan, kedua kaki menolak secara bersama dan melompat ke depan sejauh-jauhnya.</t>
  </si>
  <si>
    <t>3) Pelaksanaan lompatan dilakukan dengan bantuan ayunan lengan</t>
  </si>
  <si>
    <t>4) Jarak lompatan dihitung dari garis batas sampai dengan batas terdekat bagian anggota badan yang menyentuh matras/pasir.</t>
  </si>
  <si>
    <t>Norma tes Standing Board Jump:</t>
  </si>
  <si>
    <t>Norma</t>
  </si>
  <si>
    <t>Pengertian</t>
  </si>
  <si>
    <t>Norma Penilaian</t>
  </si>
  <si>
    <t>TES SBJ</t>
  </si>
  <si>
    <t>TES VJ</t>
  </si>
  <si>
    <t>Hasil Tes</t>
  </si>
  <si>
    <t>Nilai</t>
  </si>
  <si>
    <t>Excelent</t>
  </si>
  <si>
    <t>Very Good</t>
  </si>
  <si>
    <t>Average</t>
  </si>
  <si>
    <t>Poor</t>
  </si>
  <si>
    <t>&gt;</t>
  </si>
  <si>
    <t>Abobe Average</t>
  </si>
  <si>
    <t>Below Average</t>
  </si>
  <si>
    <t>Very Poor</t>
  </si>
  <si>
    <t>&lt;</t>
  </si>
  <si>
    <t>***Isi bagian Nama dan Hasil tes, untuk nilai akan otomatis ter-generate</t>
  </si>
  <si>
    <t>Putera:</t>
  </si>
  <si>
    <t>Puteri:</t>
  </si>
  <si>
    <t>Tes SBJ Putera</t>
  </si>
  <si>
    <t>Tes SBJ Puteri</t>
  </si>
  <si>
    <t>FORM TES STANDING BOARD JUMP UNTUK PUTERA</t>
  </si>
  <si>
    <t>FORM TES STANDING BOARD JUMP UNTUK PUTERI</t>
  </si>
  <si>
    <t>V.1.1 Powered by Topan Septiadi</t>
  </si>
  <si>
    <t>***Satuan pengukuran dalam cm (metrik)</t>
  </si>
  <si>
    <t>2) Vertical Jump</t>
  </si>
  <si>
    <t>1) Gantungkan papan ukuran lompat tegak di tembok</t>
  </si>
  <si>
    <t>2) Atlet berdiri menyamping dan kaki kanan/kiri merapat ke tembok</t>
  </si>
  <si>
    <t>3) Tangan kanan/kiri berkapur diluruskan ke atas setinggi tingginya dan disentuhkan pada papan yang telah digantung. Bekas sentuhan sentuhan tertinggi merupakan nilainya</t>
  </si>
  <si>
    <t>4) Atlet melompat setinggi-tingginya dengan bantuan ayunan kedua lengannya.</t>
  </si>
  <si>
    <t>5) Selisihkan tinggi raihan dengan haisl raihan pada saat melompat.</t>
  </si>
  <si>
    <t>Tes Putera</t>
  </si>
  <si>
    <t>Tes Puteri</t>
  </si>
  <si>
    <t>Prosedur</t>
  </si>
  <si>
    <t>Norma tes Vertical Jump:</t>
  </si>
  <si>
    <t>FORM TES VERTICAL JUMP UNTUK PUTERA</t>
  </si>
  <si>
    <t>FORM TES VERTICAL JUMP UNTUK PUTERI</t>
  </si>
  <si>
    <t xml:space="preserve"> </t>
  </si>
  <si>
    <t>Nama Putera</t>
  </si>
  <si>
    <t>Nama Puteri</t>
  </si>
  <si>
    <t>Database Penilaian Standing Board Jump Putera</t>
  </si>
  <si>
    <t>Database Penilaian Standing Board Jump Puteri</t>
  </si>
  <si>
    <t>Database Penilaian Vertical Jump Putera</t>
  </si>
  <si>
    <t>Database Penilaian Vertical Jump Puteri</t>
  </si>
  <si>
    <t>dbSBJPutera</t>
  </si>
  <si>
    <t>dbSBJPuteri</t>
  </si>
  <si>
    <t>dbVJPutera</t>
  </si>
  <si>
    <t>dbVJPuteri</t>
  </si>
  <si>
    <t>Nilai Vertical Jump</t>
  </si>
  <si>
    <t>Fina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</si>
</sst>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0" fontId="2" fillId="3" borderId="0" xfId="0" applyFont="1" applyFill="1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2" fillId="2" borderId="0" xfId="0" quotePrefix="1" applyFont="1" applyFill="1"/>
    <xf numFmtId="0" fontId="4" fillId="2" borderId="0" xfId="1" applyFill="1"/>
    <xf numFmtId="0" fontId="1" fillId="2" borderId="1" xfId="0" applyFont="1" applyFill="1" applyBorder="1"/>
    <xf numFmtId="0" fontId="1" fillId="4" borderId="2" xfId="0" applyFont="1" applyFill="1" applyBorder="1"/>
    <xf numFmtId="0" fontId="5" fillId="2" borderId="0" xfId="0" applyFont="1" applyFill="1"/>
    <xf numFmtId="0" fontId="2" fillId="2" borderId="2" xfId="0" applyFont="1" applyFill="1" applyBorder="1" applyAlignment="1">
      <alignment horizontal="center"/>
    </xf>
    <xf numFmtId="0" fontId="6" fillId="2" borderId="0" xfId="1" quotePrefix="1" applyFont="1" applyFill="1"/>
    <xf numFmtId="0" fontId="2" fillId="3" borderId="2" xfId="0" applyFont="1" applyFill="1" applyBorder="1"/>
    <xf numFmtId="0" fontId="2" fillId="5" borderId="2" xfId="0" applyFont="1" applyFill="1" applyBorder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1" fillId="4" borderId="11" xfId="0" applyFont="1" applyFill="1" applyBorder="1"/>
    <xf numFmtId="0" fontId="1" fillId="4" borderId="12" xfId="0" applyFont="1" applyFill="1" applyBorder="1"/>
    <xf numFmtId="0" fontId="1" fillId="4" borderId="13" xfId="0" applyFont="1" applyFill="1" applyBorder="1"/>
    <xf numFmtId="0" fontId="2" fillId="3" borderId="0" xfId="0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5" fillId="2" borderId="0" xfId="0" applyFont="1" applyFill="1" applyAlignment="1">
      <alignment vertical="top"/>
    </xf>
    <xf numFmtId="0" fontId="8" fillId="2" borderId="0" xfId="0" applyFont="1" applyFill="1"/>
    <xf numFmtId="0" fontId="8" fillId="3" borderId="0" xfId="0" applyFont="1" applyFill="1"/>
    <xf numFmtId="0" fontId="8" fillId="3" borderId="0" xfId="0" applyFont="1" applyFill="1" applyProtection="1"/>
    <xf numFmtId="0" fontId="2" fillId="3" borderId="0" xfId="0" applyFont="1" applyFill="1" applyProtection="1"/>
    <xf numFmtId="0" fontId="2" fillId="2" borderId="2" xfId="0" applyFont="1" applyFill="1" applyBorder="1" applyProtection="1"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Protection="1">
      <protection locked="0"/>
    </xf>
    <xf numFmtId="0" fontId="1" fillId="2" borderId="1" xfId="0" applyFont="1" applyFill="1" applyBorder="1" applyProtection="1"/>
    <xf numFmtId="0" fontId="6" fillId="3" borderId="0" xfId="1" applyFont="1" applyFill="1" applyProtection="1">
      <protection locked="0"/>
    </xf>
    <xf numFmtId="0" fontId="2" fillId="3" borderId="0" xfId="0" applyFont="1" applyFill="1" applyProtection="1">
      <protection locked="0"/>
    </xf>
    <xf numFmtId="0" fontId="7" fillId="6" borderId="0" xfId="1" applyFont="1" applyFill="1" applyProtection="1">
      <protection locked="0"/>
    </xf>
    <xf numFmtId="0" fontId="1" fillId="4" borderId="7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254289</xdr:colOff>
      <xdr:row>36</xdr:row>
      <xdr:rowOff>19050</xdr:rowOff>
    </xdr:from>
    <xdr:to>
      <xdr:col>5</xdr:col>
      <xdr:colOff>1345911</xdr:colOff>
      <xdr:row>37</xdr:row>
      <xdr:rowOff>123826</xdr:rowOff>
    </xdr:to>
    <xdr:sp macro="[0]!saveSBJPutera" textlink="">
      <xdr:nvSpPr>
        <xdr:cNvPr id="2" name="Rectangle 1">
          <a:extLst>
            <a:ext uri="{FF2B5EF4-FFF2-40B4-BE49-F238E27FC236}">
              <a16:creationId xmlns:a16="http://schemas.microsoft.com/office/drawing/2014/main" id="{FEF5CAFB-038D-402A-B4B5-8825276B10C2}"/>
            </a:ext>
          </a:extLst>
        </xdr:cNvPr>
        <xdr:cNvSpPr/>
      </xdr:nvSpPr>
      <xdr:spPr>
        <a:xfrm>
          <a:off x="6731289" y="7686675"/>
          <a:ext cx="1091622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SAVE</a:t>
          </a:r>
          <a:endParaRPr lang="id-ID" sz="1100" b="1"/>
        </a:p>
      </xdr:txBody>
    </xdr:sp>
    <xdr:clientData/>
  </xdr:twoCellAnchor>
  <xdr:twoCellAnchor editAs="absolute">
    <xdr:from>
      <xdr:col>5</xdr:col>
      <xdr:colOff>254289</xdr:colOff>
      <xdr:row>43</xdr:row>
      <xdr:rowOff>28575</xdr:rowOff>
    </xdr:from>
    <xdr:to>
      <xdr:col>5</xdr:col>
      <xdr:colOff>1345911</xdr:colOff>
      <xdr:row>44</xdr:row>
      <xdr:rowOff>133351</xdr:rowOff>
    </xdr:to>
    <xdr:sp macro="[0]!saveSBJPuteri" textlink="">
      <xdr:nvSpPr>
        <xdr:cNvPr id="6" name="Rectangle 5">
          <a:extLst>
            <a:ext uri="{FF2B5EF4-FFF2-40B4-BE49-F238E27FC236}">
              <a16:creationId xmlns:a16="http://schemas.microsoft.com/office/drawing/2014/main" id="{490072EC-B66E-42E2-9AB9-6F47120272CE}"/>
            </a:ext>
          </a:extLst>
        </xdr:cNvPr>
        <xdr:cNvSpPr/>
      </xdr:nvSpPr>
      <xdr:spPr>
        <a:xfrm>
          <a:off x="6731289" y="9029700"/>
          <a:ext cx="1091622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SAVE</a:t>
          </a:r>
          <a:endParaRPr lang="id-ID" sz="1100" b="1"/>
        </a:p>
      </xdr:txBody>
    </xdr:sp>
    <xdr:clientData/>
  </xdr:twoCellAnchor>
  <xdr:twoCellAnchor editAs="absolute">
    <xdr:from>
      <xdr:col>5</xdr:col>
      <xdr:colOff>254289</xdr:colOff>
      <xdr:row>38</xdr:row>
      <xdr:rowOff>123825</xdr:rowOff>
    </xdr:from>
    <xdr:to>
      <xdr:col>5</xdr:col>
      <xdr:colOff>1345911</xdr:colOff>
      <xdr:row>40</xdr:row>
      <xdr:rowOff>38101</xdr:rowOff>
    </xdr:to>
    <xdr:sp macro="[0]!delSBJPutera" textlink="">
      <xdr:nvSpPr>
        <xdr:cNvPr id="7" name="Rectangle 6">
          <a:extLst>
            <a:ext uri="{FF2B5EF4-FFF2-40B4-BE49-F238E27FC236}">
              <a16:creationId xmlns:a16="http://schemas.microsoft.com/office/drawing/2014/main" id="{A72904EC-805E-403D-B9A0-B0C11628D8F7}"/>
            </a:ext>
          </a:extLst>
        </xdr:cNvPr>
        <xdr:cNvSpPr/>
      </xdr:nvSpPr>
      <xdr:spPr>
        <a:xfrm>
          <a:off x="6731289" y="8172450"/>
          <a:ext cx="1091622" cy="2952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DELETE</a:t>
          </a:r>
          <a:endParaRPr lang="id-ID" sz="1100" b="1"/>
        </a:p>
      </xdr:txBody>
    </xdr:sp>
    <xdr:clientData/>
  </xdr:twoCellAnchor>
  <xdr:twoCellAnchor editAs="absolute">
    <xdr:from>
      <xdr:col>5</xdr:col>
      <xdr:colOff>254289</xdr:colOff>
      <xdr:row>45</xdr:row>
      <xdr:rowOff>123825</xdr:rowOff>
    </xdr:from>
    <xdr:to>
      <xdr:col>5</xdr:col>
      <xdr:colOff>1345911</xdr:colOff>
      <xdr:row>47</xdr:row>
      <xdr:rowOff>38101</xdr:rowOff>
    </xdr:to>
    <xdr:sp macro="[0]!delSBJPuteri" textlink="">
      <xdr:nvSpPr>
        <xdr:cNvPr id="8" name="Rectangle 7">
          <a:extLst>
            <a:ext uri="{FF2B5EF4-FFF2-40B4-BE49-F238E27FC236}">
              <a16:creationId xmlns:a16="http://schemas.microsoft.com/office/drawing/2014/main" id="{2758B3D0-C5FD-49F1-A9B8-04AFFC0ADDC1}"/>
            </a:ext>
          </a:extLst>
        </xdr:cNvPr>
        <xdr:cNvSpPr/>
      </xdr:nvSpPr>
      <xdr:spPr>
        <a:xfrm>
          <a:off x="6731289" y="9505950"/>
          <a:ext cx="1091622" cy="2952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DELETE</a:t>
          </a:r>
          <a:endParaRPr lang="id-ID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200025</xdr:colOff>
      <xdr:row>37</xdr:row>
      <xdr:rowOff>0</xdr:rowOff>
    </xdr:from>
    <xdr:to>
      <xdr:col>5</xdr:col>
      <xdr:colOff>1291647</xdr:colOff>
      <xdr:row>38</xdr:row>
      <xdr:rowOff>104776</xdr:rowOff>
    </xdr:to>
    <xdr:sp macro="[0]!saveVJPutera" textlink="">
      <xdr:nvSpPr>
        <xdr:cNvPr id="2" name="Rectangle 1">
          <a:extLst>
            <a:ext uri="{FF2B5EF4-FFF2-40B4-BE49-F238E27FC236}">
              <a16:creationId xmlns:a16="http://schemas.microsoft.com/office/drawing/2014/main" id="{E3AFB14D-B47D-49EE-A04D-3D44D821C597}"/>
            </a:ext>
          </a:extLst>
        </xdr:cNvPr>
        <xdr:cNvSpPr/>
      </xdr:nvSpPr>
      <xdr:spPr>
        <a:xfrm>
          <a:off x="6600825" y="7743825"/>
          <a:ext cx="1091622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SAVE</a:t>
          </a:r>
          <a:endParaRPr lang="id-ID" sz="1100" b="1"/>
        </a:p>
      </xdr:txBody>
    </xdr:sp>
    <xdr:clientData/>
  </xdr:twoCellAnchor>
  <xdr:twoCellAnchor editAs="absolute">
    <xdr:from>
      <xdr:col>5</xdr:col>
      <xdr:colOff>200025</xdr:colOff>
      <xdr:row>44</xdr:row>
      <xdr:rowOff>9525</xdr:rowOff>
    </xdr:from>
    <xdr:to>
      <xdr:col>5</xdr:col>
      <xdr:colOff>1291647</xdr:colOff>
      <xdr:row>45</xdr:row>
      <xdr:rowOff>114301</xdr:rowOff>
    </xdr:to>
    <xdr:sp macro="[0]!saveVJPuteri" textlink="">
      <xdr:nvSpPr>
        <xdr:cNvPr id="3" name="Rectangle 2">
          <a:extLst>
            <a:ext uri="{FF2B5EF4-FFF2-40B4-BE49-F238E27FC236}">
              <a16:creationId xmlns:a16="http://schemas.microsoft.com/office/drawing/2014/main" id="{DC7711CD-2CEE-47A4-A8D2-3F00B8DAED0D}"/>
            </a:ext>
          </a:extLst>
        </xdr:cNvPr>
        <xdr:cNvSpPr/>
      </xdr:nvSpPr>
      <xdr:spPr>
        <a:xfrm>
          <a:off x="6600825" y="9086850"/>
          <a:ext cx="1091622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SAVE</a:t>
          </a:r>
          <a:endParaRPr lang="id-ID" sz="1100" b="1"/>
        </a:p>
      </xdr:txBody>
    </xdr:sp>
    <xdr:clientData/>
  </xdr:twoCellAnchor>
  <xdr:twoCellAnchor editAs="absolute">
    <xdr:from>
      <xdr:col>5</xdr:col>
      <xdr:colOff>200025</xdr:colOff>
      <xdr:row>39</xdr:row>
      <xdr:rowOff>104775</xdr:rowOff>
    </xdr:from>
    <xdr:to>
      <xdr:col>5</xdr:col>
      <xdr:colOff>1291647</xdr:colOff>
      <xdr:row>41</xdr:row>
      <xdr:rowOff>19051</xdr:rowOff>
    </xdr:to>
    <xdr:sp macro="[0]!delVJPutera" textlink="">
      <xdr:nvSpPr>
        <xdr:cNvPr id="4" name="Rectangle 3">
          <a:extLst>
            <a:ext uri="{FF2B5EF4-FFF2-40B4-BE49-F238E27FC236}">
              <a16:creationId xmlns:a16="http://schemas.microsoft.com/office/drawing/2014/main" id="{56E638DC-5C2A-48ED-9BBB-78CD84209F8E}"/>
            </a:ext>
          </a:extLst>
        </xdr:cNvPr>
        <xdr:cNvSpPr/>
      </xdr:nvSpPr>
      <xdr:spPr>
        <a:xfrm>
          <a:off x="6600825" y="8229600"/>
          <a:ext cx="1091622" cy="2952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DELETE</a:t>
          </a:r>
          <a:endParaRPr lang="id-ID" sz="1100" b="1"/>
        </a:p>
      </xdr:txBody>
    </xdr:sp>
    <xdr:clientData/>
  </xdr:twoCellAnchor>
  <xdr:twoCellAnchor editAs="absolute">
    <xdr:from>
      <xdr:col>5</xdr:col>
      <xdr:colOff>200025</xdr:colOff>
      <xdr:row>46</xdr:row>
      <xdr:rowOff>104775</xdr:rowOff>
    </xdr:from>
    <xdr:to>
      <xdr:col>5</xdr:col>
      <xdr:colOff>1291647</xdr:colOff>
      <xdr:row>48</xdr:row>
      <xdr:rowOff>19051</xdr:rowOff>
    </xdr:to>
    <xdr:sp macro="[0]!delVJPuteri" textlink="">
      <xdr:nvSpPr>
        <xdr:cNvPr id="5" name="Rectangle 4">
          <a:extLst>
            <a:ext uri="{FF2B5EF4-FFF2-40B4-BE49-F238E27FC236}">
              <a16:creationId xmlns:a16="http://schemas.microsoft.com/office/drawing/2014/main" id="{F26CBB00-8CFC-4C6D-825A-F38D17F73FB2}"/>
            </a:ext>
          </a:extLst>
        </xdr:cNvPr>
        <xdr:cNvSpPr/>
      </xdr:nvSpPr>
      <xdr:spPr>
        <a:xfrm>
          <a:off x="6600825" y="9563100"/>
          <a:ext cx="1091622" cy="2952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DELETE</a:t>
          </a:r>
          <a:endParaRPr lang="id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0F90-6501-4F57-A0E1-E928E73DD2FD}">
  <sheetPr codeName="Sheet2"/>
  <dimension ref="A1:R22"/>
  <sheetViews>
    <sheetView tabSelected="1" zoomScaleNormal="100" workbookViewId="0">
      <selection activeCell="A4" sqref="A4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13" width="9.140625" style="3" customWidth="1"/>
    <col min="14" max="17" width="14" style="3" customWidth="1"/>
    <col min="18" max="18" width="9.140625" style="2" customWidth="1"/>
    <col min="19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37" t="s">
        <v>0</v>
      </c>
      <c r="C3" s="5" t="s">
        <v>1</v>
      </c>
    </row>
    <row r="4" spans="1:3" x14ac:dyDescent="0.25">
      <c r="A4" s="35" t="s">
        <v>21</v>
      </c>
    </row>
    <row r="5" spans="1:3" x14ac:dyDescent="0.25">
      <c r="A5" s="35" t="s">
        <v>22</v>
      </c>
    </row>
    <row r="6" spans="1:3" x14ac:dyDescent="0.25">
      <c r="A6" s="36"/>
      <c r="C6" s="3" t="s">
        <v>2</v>
      </c>
    </row>
    <row r="7" spans="1:3" x14ac:dyDescent="0.25">
      <c r="A7" s="35" t="s">
        <v>62</v>
      </c>
    </row>
    <row r="8" spans="1:3" x14ac:dyDescent="0.25">
      <c r="A8" s="35" t="s">
        <v>63</v>
      </c>
      <c r="C8" s="3" t="s">
        <v>3</v>
      </c>
    </row>
    <row r="9" spans="1:3" x14ac:dyDescent="0.25">
      <c r="A9" s="35" t="s">
        <v>64</v>
      </c>
      <c r="C9" s="12" t="s">
        <v>4</v>
      </c>
    </row>
    <row r="10" spans="1:3" x14ac:dyDescent="0.25">
      <c r="A10" s="35" t="s">
        <v>65</v>
      </c>
      <c r="C10" s="12" t="s">
        <v>43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spans="14:16" x14ac:dyDescent="0.25"/>
    <row r="18" spans="14:16" x14ac:dyDescent="0.25"/>
    <row r="19" spans="14:16" x14ac:dyDescent="0.25"/>
    <row r="20" spans="14:16" x14ac:dyDescent="0.25"/>
    <row r="21" spans="14:16" x14ac:dyDescent="0.25">
      <c r="N21" s="27"/>
    </row>
    <row r="22" spans="14:16" s="2" customFormat="1" x14ac:dyDescent="0.25">
      <c r="P22" s="28" t="s">
        <v>41</v>
      </c>
    </row>
  </sheetData>
  <sheetProtection password="8E52" sheet="1" objects="1" scenarios="1" selectLockedCells="1"/>
  <hyperlinks>
    <hyperlink ref="A3" location="home!A1" display="Home" xr:uid="{6274BDC6-FAEA-4741-9CE4-C9AE80B71EC8}"/>
    <hyperlink ref="C9" location="standingBoardJump!A1" display="1) Standing Board Jump" xr:uid="{9D31B8C4-C1CD-4A74-9848-6B5D2C773621}"/>
    <hyperlink ref="C10" location="verticalJump!A1" display="2 Vertical Jump" xr:uid="{EE69CDFA-74C5-4E63-A627-90F314D54DEB}"/>
    <hyperlink ref="A4" location="standingBoardJump!C3" display="TES SBJ" xr:uid="{814867EA-1F20-45E2-A08A-337C4DE860C3}"/>
    <hyperlink ref="A5" location="verticalJump!C3" display="TES VJ" xr:uid="{D4581093-41E8-4A67-B50D-5FCA67BBA672}"/>
    <hyperlink ref="A7" location="dbSBJPutera!A1" display="dbSBJPutera" xr:uid="{778FE3ED-15FD-4EC8-A578-5FB5808A6FC8}"/>
    <hyperlink ref="A8" location="dbSBJPuteri!A1" display="dbSBJPuteri" xr:uid="{82DA54B9-BDBE-49D7-B026-2654FAEFD5A8}"/>
    <hyperlink ref="A9" location="dbVJPutera!A1" display="dbVJPutera" xr:uid="{187E2CC2-5703-41A9-B77E-D8309C8FF6FC}"/>
    <hyperlink ref="A10" location="dbVJPuteri!A1" display="dbVJPuteri" xr:uid="{A1CE8B86-CCDE-49B1-BC66-15AD9BF9203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5B3E8-3696-45F8-8B2A-09736DC7F8ED}">
  <sheetPr codeName="Sheet3"/>
  <dimension ref="A1:T9"/>
  <sheetViews>
    <sheetView zoomScale="85" zoomScaleNormal="85" workbookViewId="0">
      <selection activeCell="A4" sqref="A4"/>
    </sheetView>
  </sheetViews>
  <sheetFormatPr defaultColWidth="0" defaultRowHeight="15" x14ac:dyDescent="0.25"/>
  <cols>
    <col min="1" max="1" width="17.28515625" style="2" customWidth="1"/>
    <col min="2" max="2" width="4.140625" style="3" customWidth="1"/>
    <col min="3" max="5" width="26.42578125" style="33" customWidth="1"/>
    <col min="6" max="6" width="8" style="3" customWidth="1"/>
    <col min="7" max="9" width="26.42578125" style="3" customWidth="1"/>
    <col min="10" max="10" width="9.140625" style="3" customWidth="1"/>
    <col min="11" max="11" width="9.140625" style="2" customWidth="1"/>
    <col min="12" max="20" width="0" style="3" hidden="1" customWidth="1"/>
    <col min="21" max="16384" width="9.140625" style="3" hidden="1"/>
  </cols>
  <sheetData>
    <row r="1" spans="1:11" s="2" customFormat="1" ht="53.25" customHeight="1" x14ac:dyDescent="0.25">
      <c r="G1" s="28"/>
      <c r="I1" s="28" t="s">
        <v>41</v>
      </c>
    </row>
    <row r="2" spans="1:11" ht="46.5" x14ac:dyDescent="0.7">
      <c r="A2" s="35" t="s">
        <v>0</v>
      </c>
      <c r="B2" s="7"/>
      <c r="C2" s="5" t="s">
        <v>58</v>
      </c>
      <c r="D2" s="3"/>
      <c r="E2" s="3"/>
      <c r="K2" s="28"/>
    </row>
    <row r="3" spans="1:11" x14ac:dyDescent="0.25">
      <c r="A3" s="35" t="s">
        <v>21</v>
      </c>
      <c r="B3" s="7"/>
      <c r="C3" s="4" t="s">
        <v>55</v>
      </c>
      <c r="D3" s="3"/>
      <c r="E3" s="3"/>
      <c r="G3" s="4" t="s">
        <v>55</v>
      </c>
    </row>
    <row r="4" spans="1:11" x14ac:dyDescent="0.25">
      <c r="A4" s="35" t="s">
        <v>22</v>
      </c>
      <c r="C4" s="8" t="s">
        <v>56</v>
      </c>
      <c r="D4" s="8" t="s">
        <v>6</v>
      </c>
      <c r="E4" s="8" t="s">
        <v>7</v>
      </c>
    </row>
    <row r="5" spans="1:11" x14ac:dyDescent="0.25">
      <c r="A5" s="36"/>
    </row>
    <row r="6" spans="1:11" x14ac:dyDescent="0.25">
      <c r="A6" s="37" t="s">
        <v>62</v>
      </c>
    </row>
    <row r="7" spans="1:11" x14ac:dyDescent="0.25">
      <c r="A7" s="35" t="s">
        <v>63</v>
      </c>
    </row>
    <row r="8" spans="1:11" x14ac:dyDescent="0.25">
      <c r="A8" s="35" t="s">
        <v>64</v>
      </c>
    </row>
    <row r="9" spans="1:11" x14ac:dyDescent="0.25">
      <c r="A9" s="35" t="s">
        <v>65</v>
      </c>
    </row>
  </sheetData>
  <sheetProtection password="8E52" sheet="1" objects="1" scenarios="1" selectLockedCells="1"/>
  <hyperlinks>
    <hyperlink ref="A2" location="home!A1" display="Home" xr:uid="{74829E84-951F-46F9-9357-93529F563E36}"/>
    <hyperlink ref="A3" location="standingBoardJump!C3" display="TES SBJ" xr:uid="{7C04E9BE-72E9-46AA-911B-ABE9BE95EBE7}"/>
    <hyperlink ref="A4" location="verticalJump!C3" display="TES VJ" xr:uid="{E7478987-0CE7-47CD-AEFC-0C40C95D73E9}"/>
    <hyperlink ref="A6" location="dbSBJPutera!A1" display="dbSBJPutera" xr:uid="{9CB9FAF8-E3D2-4F01-A164-B0E3E154F9E9}"/>
    <hyperlink ref="A7" location="dbSBJPuteri!A1" display="dbSBJPuteri" xr:uid="{6CCB551A-BA26-413E-B07F-FF0E3B1B4FFA}"/>
    <hyperlink ref="A8" location="dbVJPutera!A1" display="dbVJPutera" xr:uid="{7C8DBEAD-A79D-4991-9A5B-D6771B93F63B}"/>
    <hyperlink ref="A9" location="dbVJPuteri!A1" display="dbVJPuteri" xr:uid="{4F06E3EF-1046-4E1F-AA70-2D09C8F3A01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472C6-B317-4B2C-B32F-037C01869DD6}">
  <sheetPr codeName="Sheet5"/>
  <dimension ref="A1:V9"/>
  <sheetViews>
    <sheetView zoomScale="85" zoomScaleNormal="85" workbookViewId="0">
      <selection activeCell="E5" sqref="C5:E5"/>
    </sheetView>
  </sheetViews>
  <sheetFormatPr defaultColWidth="0" defaultRowHeight="15" x14ac:dyDescent="0.25"/>
  <cols>
    <col min="1" max="1" width="17.28515625" style="2" customWidth="1"/>
    <col min="2" max="2" width="4.140625" style="3" customWidth="1"/>
    <col min="3" max="5" width="26.42578125" style="33" customWidth="1"/>
    <col min="6" max="6" width="8" style="3" customWidth="1"/>
    <col min="7" max="8" width="26.28515625" style="3" customWidth="1"/>
    <col min="9" max="9" width="26.42578125" style="3" customWidth="1"/>
    <col min="10" max="10" width="9.140625" style="3" customWidth="1"/>
    <col min="11" max="11" width="9.140625" style="2" customWidth="1"/>
    <col min="12" max="22" width="0" style="3" hidden="1" customWidth="1"/>
    <col min="23" max="16384" width="9.140625" style="3" hidden="1"/>
  </cols>
  <sheetData>
    <row r="1" spans="1:11" s="2" customFormat="1" ht="53.25" customHeight="1" x14ac:dyDescent="0.25">
      <c r="I1" s="28" t="s">
        <v>41</v>
      </c>
    </row>
    <row r="2" spans="1:11" ht="46.5" x14ac:dyDescent="0.7">
      <c r="A2" s="35" t="s">
        <v>0</v>
      </c>
      <c r="B2" s="7"/>
      <c r="C2" s="5" t="s">
        <v>59</v>
      </c>
      <c r="D2" s="3"/>
      <c r="E2" s="3"/>
      <c r="K2" s="28"/>
    </row>
    <row r="3" spans="1:11" x14ac:dyDescent="0.25">
      <c r="A3" s="35" t="s">
        <v>21</v>
      </c>
      <c r="B3" s="7"/>
      <c r="C3" s="4" t="s">
        <v>55</v>
      </c>
      <c r="D3" s="3"/>
      <c r="E3" s="3"/>
    </row>
    <row r="4" spans="1:11" x14ac:dyDescent="0.25">
      <c r="A4" s="35" t="s">
        <v>22</v>
      </c>
      <c r="C4" s="8" t="s">
        <v>57</v>
      </c>
      <c r="D4" s="8" t="s">
        <v>6</v>
      </c>
      <c r="E4" s="8" t="s">
        <v>7</v>
      </c>
    </row>
    <row r="5" spans="1:11" x14ac:dyDescent="0.25">
      <c r="A5" s="36"/>
    </row>
    <row r="6" spans="1:11" x14ac:dyDescent="0.25">
      <c r="A6" s="35" t="s">
        <v>62</v>
      </c>
    </row>
    <row r="7" spans="1:11" x14ac:dyDescent="0.25">
      <c r="A7" s="37" t="s">
        <v>63</v>
      </c>
    </row>
    <row r="8" spans="1:11" x14ac:dyDescent="0.25">
      <c r="A8" s="35" t="s">
        <v>64</v>
      </c>
    </row>
    <row r="9" spans="1:11" x14ac:dyDescent="0.25">
      <c r="A9" s="35" t="s">
        <v>65</v>
      </c>
    </row>
  </sheetData>
  <sheetProtection password="8E52" sheet="1" objects="1" scenarios="1" selectLockedCells="1"/>
  <hyperlinks>
    <hyperlink ref="A2" location="home!A1" display="Home" xr:uid="{2DCC1D38-74BA-46D9-BEBC-27518CA01CF0}"/>
    <hyperlink ref="A3" location="standingBoardJump!C3" display="TES SBJ" xr:uid="{2C7F10C5-CA72-4409-B132-B92C46E4DCE2}"/>
    <hyperlink ref="A4" location="verticalJump!C3" display="TES VJ" xr:uid="{C04303C6-B4CD-49B7-B40A-5D135ABF2E4A}"/>
    <hyperlink ref="A6" location="dbSBJPutera!A1" display="dbSBJPutera" xr:uid="{4AF955C9-7E08-4944-82F7-C3197AC5A7B8}"/>
    <hyperlink ref="A7" location="dbSBJPuteri!A1" display="dbSBJPuteri" xr:uid="{37583A5E-FDF8-4911-888B-CD205742CDE1}"/>
    <hyperlink ref="A8" location="dbVJPutera!A1" display="dbVJPutera" xr:uid="{B05DDBAB-BBED-4D41-81F3-AE81DD3ED868}"/>
    <hyperlink ref="A9" location="dbVJPuteri!A1" display="dbVJPuteri" xr:uid="{39047F97-5DD1-4843-9298-76C959C15FE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F44CF-45F1-4F38-B828-C0C8BB35E2EF}">
  <sheetPr codeName="Sheet6"/>
  <dimension ref="A1:V9"/>
  <sheetViews>
    <sheetView zoomScale="85" zoomScaleNormal="85" workbookViewId="0">
      <selection activeCell="D7" sqref="D7"/>
    </sheetView>
  </sheetViews>
  <sheetFormatPr defaultColWidth="0" defaultRowHeight="15" x14ac:dyDescent="0.25"/>
  <cols>
    <col min="1" max="1" width="17.28515625" style="2" customWidth="1"/>
    <col min="2" max="2" width="4.140625" style="3" customWidth="1"/>
    <col min="3" max="5" width="26.42578125" style="33" customWidth="1"/>
    <col min="6" max="6" width="8" style="3" customWidth="1"/>
    <col min="7" max="8" width="26.28515625" style="3" customWidth="1"/>
    <col min="9" max="9" width="26.42578125" style="3" customWidth="1"/>
    <col min="10" max="10" width="9.140625" style="3" customWidth="1"/>
    <col min="11" max="11" width="9.140625" style="2" customWidth="1"/>
    <col min="12" max="22" width="0" style="3" hidden="1" customWidth="1"/>
    <col min="23" max="16384" width="9.140625" style="3" hidden="1"/>
  </cols>
  <sheetData>
    <row r="1" spans="1:11" s="2" customFormat="1" ht="53.25" customHeight="1" x14ac:dyDescent="0.25">
      <c r="I1" s="28" t="s">
        <v>41</v>
      </c>
    </row>
    <row r="2" spans="1:11" ht="46.5" x14ac:dyDescent="0.7">
      <c r="A2" s="35" t="s">
        <v>0</v>
      </c>
      <c r="B2" s="7"/>
      <c r="C2" s="5" t="s">
        <v>60</v>
      </c>
      <c r="D2" s="3"/>
      <c r="E2" s="3"/>
      <c r="K2" s="28"/>
    </row>
    <row r="3" spans="1:11" x14ac:dyDescent="0.25">
      <c r="A3" s="35" t="s">
        <v>21</v>
      </c>
      <c r="B3" s="7"/>
      <c r="C3" s="4" t="s">
        <v>55</v>
      </c>
      <c r="D3" s="3"/>
      <c r="E3" s="3"/>
    </row>
    <row r="4" spans="1:11" x14ac:dyDescent="0.25">
      <c r="A4" s="35" t="s">
        <v>22</v>
      </c>
      <c r="C4" s="8" t="s">
        <v>56</v>
      </c>
      <c r="D4" s="8" t="s">
        <v>66</v>
      </c>
      <c r="E4" s="8" t="s">
        <v>7</v>
      </c>
    </row>
    <row r="5" spans="1:11" x14ac:dyDescent="0.25">
      <c r="A5" s="36"/>
    </row>
    <row r="6" spans="1:11" x14ac:dyDescent="0.25">
      <c r="A6" s="35" t="s">
        <v>62</v>
      </c>
    </row>
    <row r="7" spans="1:11" x14ac:dyDescent="0.25">
      <c r="A7" s="35" t="s">
        <v>63</v>
      </c>
    </row>
    <row r="8" spans="1:11" x14ac:dyDescent="0.25">
      <c r="A8" s="37" t="s">
        <v>64</v>
      </c>
    </row>
    <row r="9" spans="1:11" x14ac:dyDescent="0.25">
      <c r="A9" s="35" t="s">
        <v>65</v>
      </c>
    </row>
  </sheetData>
  <sheetProtection password="8E52" sheet="1" objects="1" scenarios="1" selectLockedCells="1"/>
  <hyperlinks>
    <hyperlink ref="A2" location="home!A1" display="Home" xr:uid="{3B8B8305-0F7F-4DD6-9F63-F368CAFB43E1}"/>
    <hyperlink ref="A3" location="standingBoardJump!C3" display="TES SBJ" xr:uid="{62C1192D-40C7-4329-981D-042EA584343D}"/>
    <hyperlink ref="A4" location="verticalJump!C3" display="TES VJ" xr:uid="{4287BDC5-A73C-4481-B098-657BD453221F}"/>
    <hyperlink ref="A6" location="dbSBJPutera!A1" display="dbSBJPutera" xr:uid="{E800AB8D-9BA5-4076-9E24-2BBCD732D087}"/>
    <hyperlink ref="A7" location="dbSBJPuteri!A1" display="dbSBJPuteri" xr:uid="{C410DD94-9837-48E3-888D-FB57B03FEDC5}"/>
    <hyperlink ref="A8" location="dbVJPutera!A1" display="dbVJPutera" xr:uid="{018CE7D4-0F0F-492B-8878-ECEEF41BF477}"/>
    <hyperlink ref="A9" location="dbVJPuteri!A1" display="dbVJPuteri" xr:uid="{086AFD9C-5BFE-4F7C-90E9-584AD438545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333FA-9667-4CDD-B6A9-B4BFD920C883}">
  <sheetPr codeName="Sheet7"/>
  <dimension ref="A1:T9"/>
  <sheetViews>
    <sheetView zoomScale="85" zoomScaleNormal="85" workbookViewId="0">
      <selection activeCell="D6" sqref="D6"/>
    </sheetView>
  </sheetViews>
  <sheetFormatPr defaultColWidth="0" defaultRowHeight="15" x14ac:dyDescent="0.25"/>
  <cols>
    <col min="1" max="1" width="17.28515625" style="2" customWidth="1"/>
    <col min="2" max="2" width="4.140625" style="3" customWidth="1"/>
    <col min="3" max="5" width="26.42578125" style="33" customWidth="1"/>
    <col min="6" max="6" width="8" style="3" customWidth="1"/>
    <col min="7" max="8" width="26.42578125" style="3" customWidth="1"/>
    <col min="9" max="9" width="19.5703125" style="3" customWidth="1"/>
    <col min="10" max="10" width="9.140625" style="3" customWidth="1"/>
    <col min="11" max="11" width="9.140625" style="2" customWidth="1"/>
    <col min="12" max="20" width="0" style="3" hidden="1" customWidth="1"/>
    <col min="21" max="16384" width="9.140625" style="3" hidden="1"/>
  </cols>
  <sheetData>
    <row r="1" spans="1:11" s="2" customFormat="1" ht="53.25" customHeight="1" x14ac:dyDescent="0.25">
      <c r="G1" s="28"/>
      <c r="I1" s="28" t="s">
        <v>41</v>
      </c>
    </row>
    <row r="2" spans="1:11" ht="46.5" x14ac:dyDescent="0.7">
      <c r="A2" s="35" t="s">
        <v>0</v>
      </c>
      <c r="B2" s="7"/>
      <c r="C2" s="5" t="s">
        <v>61</v>
      </c>
      <c r="D2" s="3"/>
      <c r="E2" s="3"/>
      <c r="K2" s="28"/>
    </row>
    <row r="3" spans="1:11" x14ac:dyDescent="0.25">
      <c r="A3" s="35" t="s">
        <v>21</v>
      </c>
      <c r="B3" s="7"/>
      <c r="C3" s="4" t="s">
        <v>55</v>
      </c>
      <c r="D3" s="3"/>
      <c r="E3" s="3"/>
      <c r="G3" s="4" t="s">
        <v>55</v>
      </c>
    </row>
    <row r="4" spans="1:11" x14ac:dyDescent="0.25">
      <c r="A4" s="35" t="s">
        <v>22</v>
      </c>
      <c r="C4" s="34" t="s">
        <v>57</v>
      </c>
      <c r="D4" s="34" t="s">
        <v>66</v>
      </c>
      <c r="E4" s="34" t="s">
        <v>7</v>
      </c>
    </row>
    <row r="5" spans="1:11" x14ac:dyDescent="0.25">
      <c r="A5" s="36"/>
    </row>
    <row r="6" spans="1:11" x14ac:dyDescent="0.25">
      <c r="A6" s="35" t="s">
        <v>62</v>
      </c>
    </row>
    <row r="7" spans="1:11" x14ac:dyDescent="0.25">
      <c r="A7" s="35" t="s">
        <v>63</v>
      </c>
    </row>
    <row r="8" spans="1:11" x14ac:dyDescent="0.25">
      <c r="A8" s="35" t="s">
        <v>64</v>
      </c>
    </row>
    <row r="9" spans="1:11" x14ac:dyDescent="0.25">
      <c r="A9" s="37" t="s">
        <v>65</v>
      </c>
    </row>
  </sheetData>
  <sheetProtection password="8E52" sheet="1" objects="1" scenarios="1" selectLockedCells="1"/>
  <hyperlinks>
    <hyperlink ref="A2" location="home!A1" display="Home" xr:uid="{9B7EFBFE-1AEE-4B7D-AB21-C429E675BF28}"/>
    <hyperlink ref="A3" location="standingBoardJump!C3" display="TES SBJ" xr:uid="{6DDA0A2A-C0F7-459D-9FA9-0B1C35D00556}"/>
    <hyperlink ref="A4" location="verticalJump!C3" display="TES VJ" xr:uid="{19F28E67-8CCA-41B6-B173-F337FE79D9CF}"/>
    <hyperlink ref="A6" location="dbSBJPutera!A1" display="dbSBJPutera" xr:uid="{C2845316-A07E-490F-A563-E1252BA7BDC2}"/>
    <hyperlink ref="A7" location="dbSBJPuteri!A1" display="dbSBJPuteri" xr:uid="{FD344D62-EE7A-4FE5-818A-3F616E310433}"/>
    <hyperlink ref="A8" location="dbVJPutera!A1" display="dbVJPutera" xr:uid="{61682DF2-E449-4E01-BADD-015A3846BC08}"/>
    <hyperlink ref="A9" location="dbVJPuteri!A1" display="dbVJPuteri" xr:uid="{B8A608D5-7EAB-4331-A5E4-61E0EF99B90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0F68-178C-4F90-8F1F-7513365F3305}">
  <sheetPr codeName="Sheet1"/>
  <dimension ref="A1:Q53"/>
  <sheetViews>
    <sheetView topLeftCell="A26" workbookViewId="0">
      <selection activeCell="E37" sqref="E37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4" width="22.140625" style="3" customWidth="1"/>
    <col min="5" max="6" width="30.7109375" style="3" customWidth="1"/>
    <col min="7" max="16" width="9.140625" style="3" customWidth="1"/>
    <col min="17" max="17" width="9.140625" style="2" customWidth="1"/>
    <col min="18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35" t="s">
        <v>0</v>
      </c>
      <c r="C3" s="5" t="s">
        <v>8</v>
      </c>
    </row>
    <row r="4" spans="1:3" x14ac:dyDescent="0.25">
      <c r="A4" s="37" t="s">
        <v>21</v>
      </c>
    </row>
    <row r="5" spans="1:3" x14ac:dyDescent="0.25">
      <c r="A5" s="35" t="s">
        <v>22</v>
      </c>
    </row>
    <row r="6" spans="1:3" x14ac:dyDescent="0.25">
      <c r="A6" s="36"/>
      <c r="C6" s="4" t="s">
        <v>10</v>
      </c>
    </row>
    <row r="7" spans="1:3" x14ac:dyDescent="0.25">
      <c r="A7" s="35" t="s">
        <v>19</v>
      </c>
    </row>
    <row r="8" spans="1:3" x14ac:dyDescent="0.25">
      <c r="A8" s="35" t="s">
        <v>51</v>
      </c>
      <c r="C8" s="3" t="s">
        <v>12</v>
      </c>
    </row>
    <row r="9" spans="1:3" x14ac:dyDescent="0.25">
      <c r="A9" s="35" t="s">
        <v>20</v>
      </c>
      <c r="C9" s="6" t="s">
        <v>13</v>
      </c>
    </row>
    <row r="10" spans="1:3" x14ac:dyDescent="0.25">
      <c r="A10" s="35" t="s">
        <v>37</v>
      </c>
      <c r="C10" s="6" t="s">
        <v>14</v>
      </c>
    </row>
    <row r="11" spans="1:3" x14ac:dyDescent="0.25">
      <c r="A11" s="35" t="s">
        <v>38</v>
      </c>
      <c r="C11" s="6" t="s">
        <v>15</v>
      </c>
    </row>
    <row r="12" spans="1:3" x14ac:dyDescent="0.25">
      <c r="A12" s="36"/>
      <c r="C12" s="6" t="s">
        <v>16</v>
      </c>
    </row>
    <row r="13" spans="1:3" x14ac:dyDescent="0.25">
      <c r="A13" s="35" t="s">
        <v>62</v>
      </c>
    </row>
    <row r="14" spans="1:3" x14ac:dyDescent="0.25">
      <c r="A14" s="35" t="s">
        <v>63</v>
      </c>
      <c r="C14" s="4" t="s">
        <v>17</v>
      </c>
    </row>
    <row r="15" spans="1:3" x14ac:dyDescent="0.25">
      <c r="A15" s="35" t="s">
        <v>64</v>
      </c>
      <c r="C15" s="10" t="s">
        <v>42</v>
      </c>
    </row>
    <row r="16" spans="1:3" x14ac:dyDescent="0.25">
      <c r="A16" s="35" t="s">
        <v>65</v>
      </c>
    </row>
    <row r="17" spans="3:6" x14ac:dyDescent="0.25">
      <c r="C17" s="4" t="s">
        <v>35</v>
      </c>
      <c r="D17" s="9" t="s">
        <v>18</v>
      </c>
      <c r="E17" s="38" t="s">
        <v>24</v>
      </c>
      <c r="F17" s="39"/>
    </row>
    <row r="18" spans="3:6" x14ac:dyDescent="0.25">
      <c r="D18" s="21" t="s">
        <v>25</v>
      </c>
      <c r="E18" s="18" t="s">
        <v>29</v>
      </c>
      <c r="F18" s="17">
        <v>250</v>
      </c>
    </row>
    <row r="19" spans="3:6" x14ac:dyDescent="0.25">
      <c r="D19" s="22" t="s">
        <v>26</v>
      </c>
      <c r="E19" s="19">
        <v>241</v>
      </c>
      <c r="F19" s="15">
        <v>250</v>
      </c>
    </row>
    <row r="20" spans="3:6" x14ac:dyDescent="0.25">
      <c r="D20" s="22" t="s">
        <v>30</v>
      </c>
      <c r="E20" s="19">
        <v>231</v>
      </c>
      <c r="F20" s="15">
        <v>240</v>
      </c>
    </row>
    <row r="21" spans="3:6" x14ac:dyDescent="0.25">
      <c r="D21" s="22" t="s">
        <v>27</v>
      </c>
      <c r="E21" s="19">
        <v>221</v>
      </c>
      <c r="F21" s="15">
        <v>230</v>
      </c>
    </row>
    <row r="22" spans="3:6" x14ac:dyDescent="0.25">
      <c r="D22" s="22" t="s">
        <v>31</v>
      </c>
      <c r="E22" s="19">
        <v>211</v>
      </c>
      <c r="F22" s="15">
        <v>220</v>
      </c>
    </row>
    <row r="23" spans="3:6" x14ac:dyDescent="0.25">
      <c r="D23" s="22" t="s">
        <v>28</v>
      </c>
      <c r="E23" s="19">
        <v>191</v>
      </c>
      <c r="F23" s="15">
        <v>210</v>
      </c>
    </row>
    <row r="24" spans="3:6" x14ac:dyDescent="0.25">
      <c r="D24" s="23" t="s">
        <v>32</v>
      </c>
      <c r="E24" s="20" t="s">
        <v>33</v>
      </c>
      <c r="F24" s="16">
        <v>191</v>
      </c>
    </row>
    <row r="25" spans="3:6" x14ac:dyDescent="0.25"/>
    <row r="26" spans="3:6" x14ac:dyDescent="0.25">
      <c r="C26" s="4" t="s">
        <v>36</v>
      </c>
      <c r="D26" s="9" t="s">
        <v>18</v>
      </c>
      <c r="E26" s="38" t="s">
        <v>24</v>
      </c>
      <c r="F26" s="39"/>
    </row>
    <row r="27" spans="3:6" x14ac:dyDescent="0.25">
      <c r="D27" s="21" t="s">
        <v>25</v>
      </c>
      <c r="E27" s="18" t="s">
        <v>29</v>
      </c>
      <c r="F27" s="17">
        <v>200</v>
      </c>
    </row>
    <row r="28" spans="3:6" x14ac:dyDescent="0.25">
      <c r="D28" s="22" t="s">
        <v>26</v>
      </c>
      <c r="E28" s="19">
        <v>191</v>
      </c>
      <c r="F28" s="15">
        <v>200</v>
      </c>
    </row>
    <row r="29" spans="3:6" x14ac:dyDescent="0.25">
      <c r="D29" s="22" t="s">
        <v>30</v>
      </c>
      <c r="E29" s="19">
        <v>181</v>
      </c>
      <c r="F29" s="15">
        <v>190</v>
      </c>
    </row>
    <row r="30" spans="3:6" x14ac:dyDescent="0.25">
      <c r="D30" s="22" t="s">
        <v>27</v>
      </c>
      <c r="E30" s="19">
        <v>171</v>
      </c>
      <c r="F30" s="15">
        <v>180</v>
      </c>
    </row>
    <row r="31" spans="3:6" x14ac:dyDescent="0.25">
      <c r="D31" s="22" t="s">
        <v>31</v>
      </c>
      <c r="E31" s="19">
        <v>161</v>
      </c>
      <c r="F31" s="15">
        <v>170</v>
      </c>
    </row>
    <row r="32" spans="3:6" x14ac:dyDescent="0.25">
      <c r="D32" s="22" t="s">
        <v>28</v>
      </c>
      <c r="E32" s="19">
        <v>141</v>
      </c>
      <c r="F32" s="15">
        <v>160</v>
      </c>
    </row>
    <row r="33" spans="1:17" x14ac:dyDescent="0.25">
      <c r="D33" s="23" t="s">
        <v>32</v>
      </c>
      <c r="E33" s="20" t="s">
        <v>33</v>
      </c>
      <c r="F33" s="16">
        <v>141</v>
      </c>
    </row>
    <row r="34" spans="1:17" x14ac:dyDescent="0.25"/>
    <row r="35" spans="1:17" x14ac:dyDescent="0.25">
      <c r="C35" s="4" t="s">
        <v>39</v>
      </c>
    </row>
    <row r="36" spans="1:17" s="25" customFormat="1" ht="24" customHeight="1" x14ac:dyDescent="0.25">
      <c r="A36" s="24"/>
      <c r="C36" s="26" t="s">
        <v>34</v>
      </c>
      <c r="Q36" s="24"/>
    </row>
    <row r="37" spans="1:17" x14ac:dyDescent="0.25">
      <c r="D37" s="13" t="s">
        <v>5</v>
      </c>
      <c r="E37" s="31"/>
    </row>
    <row r="38" spans="1:17" x14ac:dyDescent="0.25">
      <c r="D38" s="13" t="s">
        <v>23</v>
      </c>
      <c r="E38" s="32"/>
    </row>
    <row r="39" spans="1:17" x14ac:dyDescent="0.25"/>
    <row r="40" spans="1:17" x14ac:dyDescent="0.25">
      <c r="D40" s="14" t="s">
        <v>24</v>
      </c>
      <c r="E40" s="11" t="str">
        <f>IF(E38&gt;250,"Excelent",IF(E38&gt;=241,"Very Good",IF(E38&gt;=231,"Above Average",IF(E38&gt;=221,"Average",IF(E38&gt;=211,"Below Average",IF(E38&gt;=191,"Poor",IF(E38&lt;=191,"Very Poor",)))))))</f>
        <v>Very Poor</v>
      </c>
    </row>
    <row r="41" spans="1:17" x14ac:dyDescent="0.25">
      <c r="D41" s="1"/>
      <c r="E41" s="1"/>
    </row>
    <row r="42" spans="1:17" x14ac:dyDescent="0.25">
      <c r="C42" s="4" t="s">
        <v>40</v>
      </c>
    </row>
    <row r="43" spans="1:17" x14ac:dyDescent="0.25">
      <c r="C43" s="26" t="s">
        <v>34</v>
      </c>
      <c r="D43" s="25"/>
      <c r="E43" s="25"/>
    </row>
    <row r="44" spans="1:17" x14ac:dyDescent="0.25">
      <c r="D44" s="13" t="s">
        <v>5</v>
      </c>
      <c r="E44" s="31" t="s">
        <v>67</v>
      </c>
    </row>
    <row r="45" spans="1:17" x14ac:dyDescent="0.25">
      <c r="D45" s="13" t="s">
        <v>23</v>
      </c>
      <c r="E45" s="32">
        <v>144</v>
      </c>
    </row>
    <row r="46" spans="1:17" x14ac:dyDescent="0.25"/>
    <row r="47" spans="1:17" x14ac:dyDescent="0.25">
      <c r="D47" s="14" t="s">
        <v>24</v>
      </c>
      <c r="E47" s="11" t="str">
        <f>IF(E45&gt;200,"Excelent",IF(E45&gt;=191,"Very Good",IF(E45&gt;=181,"Above Average",IF(E45&gt;=171,"Average",IF(E45&gt;=161,"Below Average",IF(E45&gt;=141,"Poor",IF(E45&lt;=141,"Very Poor",)))))))</f>
        <v>Poor</v>
      </c>
    </row>
    <row r="48" spans="1:17" x14ac:dyDescent="0.25"/>
    <row r="49" spans="13:14" x14ac:dyDescent="0.25"/>
    <row r="50" spans="13:14" x14ac:dyDescent="0.25"/>
    <row r="51" spans="13:14" x14ac:dyDescent="0.25"/>
    <row r="52" spans="13:14" x14ac:dyDescent="0.25">
      <c r="M52" s="27"/>
    </row>
    <row r="53" spans="13:14" s="2" customFormat="1" x14ac:dyDescent="0.25">
      <c r="N53" s="28" t="s">
        <v>41</v>
      </c>
    </row>
  </sheetData>
  <sheetProtection password="8E52" sheet="1" objects="1" scenarios="1" selectLockedCells="1"/>
  <mergeCells count="2">
    <mergeCell ref="E17:F17"/>
    <mergeCell ref="E26:F26"/>
  </mergeCells>
  <hyperlinks>
    <hyperlink ref="A3" location="home!A1" display="Home" xr:uid="{88AC960B-7D2B-4066-9252-110F6CE85263}"/>
    <hyperlink ref="A7" location="standingBoardJump!C6" display="Pengertian" xr:uid="{4A539940-0461-4A06-AF1F-3B187B6A4DCF}"/>
    <hyperlink ref="A9" location="standingBoardJump!C14" display="Norma Penilaian" xr:uid="{177C0502-68E6-4D47-8454-FACC7FB78243}"/>
    <hyperlink ref="A10" location="standingBoardJump!C35" display="Tes SBJ Putera" xr:uid="{A6BBF065-9A29-47AF-9539-906F6D0467D0}"/>
    <hyperlink ref="A5" location="verticalJump!C3" display="TES VJ" xr:uid="{1929D739-BF25-45A1-8364-4741D967F8A5}"/>
    <hyperlink ref="A11" location="standingBoardJump!C42" display="Tes SBJ Puteri" xr:uid="{00360F00-2D0C-4727-AFA1-02B901CED9B6}"/>
    <hyperlink ref="A8" location="standingBoardJump!C8" display="Prosedur" xr:uid="{DADC2437-E664-4FD9-B1D7-63A69505953C}"/>
    <hyperlink ref="A4" location="standingBoardJump!C3" display="TES SBJ" xr:uid="{7E1E46EC-8342-443D-86D3-69B1DA195D57}"/>
    <hyperlink ref="A13" location="dbSBJPutera!A1" display="dbSBJPutera" xr:uid="{75D2A65B-B493-46DE-B6FC-CD751372069A}"/>
    <hyperlink ref="A14" location="dbSBJPuteri!A1" display="dbSBJPuteri" xr:uid="{3AE12F08-02A7-4B77-B989-3306D721EC58}"/>
    <hyperlink ref="A15" location="dbVJPutera!A1" display="dbVJPutera" xr:uid="{4161E863-820A-47B5-AE96-B64F5217D1C7}"/>
    <hyperlink ref="A16" location="dbVJPuteri!A1" display="dbVJPuteri" xr:uid="{BFDE0317-678C-4388-A6C1-E91F929FA6AB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2F13A-E8E9-4CB8-82A9-A11DF5027742}">
  <sheetPr codeName="Sheet4"/>
  <dimension ref="A1:Q55"/>
  <sheetViews>
    <sheetView topLeftCell="A4" zoomScale="85" zoomScaleNormal="85" workbookViewId="0">
      <selection activeCell="E38" sqref="E38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4" width="21.5703125" style="3" customWidth="1"/>
    <col min="5" max="6" width="30.7109375" style="3" customWidth="1"/>
    <col min="7" max="16" width="9.140625" style="3" customWidth="1"/>
    <col min="17" max="17" width="9.140625" style="2" customWidth="1"/>
    <col min="18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35" t="s">
        <v>0</v>
      </c>
      <c r="C3" s="5" t="s">
        <v>9</v>
      </c>
    </row>
    <row r="4" spans="1:3" x14ac:dyDescent="0.25">
      <c r="A4" s="35" t="s">
        <v>21</v>
      </c>
    </row>
    <row r="5" spans="1:3" x14ac:dyDescent="0.25">
      <c r="A5" s="37" t="s">
        <v>22</v>
      </c>
    </row>
    <row r="6" spans="1:3" x14ac:dyDescent="0.25">
      <c r="A6" s="36"/>
      <c r="C6" s="3" t="s">
        <v>11</v>
      </c>
    </row>
    <row r="7" spans="1:3" x14ac:dyDescent="0.25">
      <c r="A7" s="35" t="s">
        <v>19</v>
      </c>
    </row>
    <row r="8" spans="1:3" x14ac:dyDescent="0.25">
      <c r="A8" s="35" t="s">
        <v>51</v>
      </c>
      <c r="C8" s="3" t="s">
        <v>12</v>
      </c>
    </row>
    <row r="9" spans="1:3" x14ac:dyDescent="0.25">
      <c r="A9" s="35" t="s">
        <v>18</v>
      </c>
      <c r="C9" s="6" t="s">
        <v>44</v>
      </c>
    </row>
    <row r="10" spans="1:3" x14ac:dyDescent="0.25">
      <c r="A10" s="35" t="s">
        <v>49</v>
      </c>
      <c r="C10" s="6" t="s">
        <v>45</v>
      </c>
    </row>
    <row r="11" spans="1:3" x14ac:dyDescent="0.25">
      <c r="A11" s="35" t="s">
        <v>50</v>
      </c>
      <c r="C11" s="6" t="s">
        <v>46</v>
      </c>
    </row>
    <row r="12" spans="1:3" x14ac:dyDescent="0.25">
      <c r="A12" s="36"/>
      <c r="C12" s="6" t="s">
        <v>47</v>
      </c>
    </row>
    <row r="13" spans="1:3" x14ac:dyDescent="0.25">
      <c r="A13" s="35" t="s">
        <v>62</v>
      </c>
      <c r="C13" s="6" t="s">
        <v>48</v>
      </c>
    </row>
    <row r="14" spans="1:3" x14ac:dyDescent="0.25">
      <c r="A14" s="35" t="s">
        <v>63</v>
      </c>
    </row>
    <row r="15" spans="1:3" x14ac:dyDescent="0.25">
      <c r="A15" s="35" t="s">
        <v>64</v>
      </c>
      <c r="C15" s="4" t="s">
        <v>52</v>
      </c>
    </row>
    <row r="16" spans="1:3" x14ac:dyDescent="0.25">
      <c r="A16" s="35" t="s">
        <v>65</v>
      </c>
      <c r="C16" s="10" t="s">
        <v>42</v>
      </c>
    </row>
    <row r="17" spans="3:6" x14ac:dyDescent="0.25"/>
    <row r="18" spans="3:6" x14ac:dyDescent="0.25">
      <c r="C18" s="4" t="s">
        <v>35</v>
      </c>
      <c r="D18" s="9" t="s">
        <v>18</v>
      </c>
      <c r="E18" s="38" t="s">
        <v>24</v>
      </c>
      <c r="F18" s="39"/>
    </row>
    <row r="19" spans="3:6" x14ac:dyDescent="0.25">
      <c r="D19" s="21" t="s">
        <v>25</v>
      </c>
      <c r="E19" s="18" t="s">
        <v>29</v>
      </c>
      <c r="F19" s="17">
        <v>70</v>
      </c>
    </row>
    <row r="20" spans="3:6" x14ac:dyDescent="0.25">
      <c r="D20" s="22" t="s">
        <v>26</v>
      </c>
      <c r="E20" s="19">
        <v>61</v>
      </c>
      <c r="F20" s="15">
        <v>70</v>
      </c>
    </row>
    <row r="21" spans="3:6" x14ac:dyDescent="0.25">
      <c r="D21" s="22" t="s">
        <v>30</v>
      </c>
      <c r="E21" s="19">
        <v>51</v>
      </c>
      <c r="F21" s="15">
        <v>60</v>
      </c>
    </row>
    <row r="22" spans="3:6" x14ac:dyDescent="0.25">
      <c r="D22" s="22" t="s">
        <v>27</v>
      </c>
      <c r="E22" s="19">
        <v>41</v>
      </c>
      <c r="F22" s="15">
        <v>50</v>
      </c>
    </row>
    <row r="23" spans="3:6" x14ac:dyDescent="0.25">
      <c r="D23" s="22" t="s">
        <v>31</v>
      </c>
      <c r="E23" s="19">
        <v>31</v>
      </c>
      <c r="F23" s="15">
        <v>40</v>
      </c>
    </row>
    <row r="24" spans="3:6" x14ac:dyDescent="0.25">
      <c r="D24" s="22" t="s">
        <v>28</v>
      </c>
      <c r="E24" s="19">
        <v>21</v>
      </c>
      <c r="F24" s="15">
        <v>30</v>
      </c>
    </row>
    <row r="25" spans="3:6" x14ac:dyDescent="0.25">
      <c r="D25" s="23" t="s">
        <v>32</v>
      </c>
      <c r="E25" s="20" t="s">
        <v>33</v>
      </c>
      <c r="F25" s="16">
        <v>21</v>
      </c>
    </row>
    <row r="26" spans="3:6" x14ac:dyDescent="0.25"/>
    <row r="27" spans="3:6" x14ac:dyDescent="0.25">
      <c r="C27" s="4" t="s">
        <v>36</v>
      </c>
      <c r="D27" s="9" t="s">
        <v>18</v>
      </c>
      <c r="E27" s="38" t="s">
        <v>24</v>
      </c>
      <c r="F27" s="39"/>
    </row>
    <row r="28" spans="3:6" x14ac:dyDescent="0.25">
      <c r="D28" s="21" t="s">
        <v>25</v>
      </c>
      <c r="E28" s="18" t="s">
        <v>29</v>
      </c>
      <c r="F28" s="17">
        <v>60</v>
      </c>
    </row>
    <row r="29" spans="3:6" x14ac:dyDescent="0.25">
      <c r="D29" s="22" t="s">
        <v>26</v>
      </c>
      <c r="E29" s="19">
        <v>51</v>
      </c>
      <c r="F29" s="15">
        <v>60</v>
      </c>
    </row>
    <row r="30" spans="3:6" x14ac:dyDescent="0.25">
      <c r="D30" s="22" t="s">
        <v>30</v>
      </c>
      <c r="E30" s="19">
        <v>41</v>
      </c>
      <c r="F30" s="15">
        <v>50</v>
      </c>
    </row>
    <row r="31" spans="3:6" x14ac:dyDescent="0.25">
      <c r="D31" s="22" t="s">
        <v>27</v>
      </c>
      <c r="E31" s="19">
        <v>31</v>
      </c>
      <c r="F31" s="15">
        <v>40</v>
      </c>
    </row>
    <row r="32" spans="3:6" x14ac:dyDescent="0.25">
      <c r="D32" s="22" t="s">
        <v>31</v>
      </c>
      <c r="E32" s="19">
        <v>21</v>
      </c>
      <c r="F32" s="15">
        <v>30</v>
      </c>
    </row>
    <row r="33" spans="3:6" x14ac:dyDescent="0.25">
      <c r="D33" s="22" t="s">
        <v>28</v>
      </c>
      <c r="E33" s="19">
        <v>11</v>
      </c>
      <c r="F33" s="15">
        <v>20</v>
      </c>
    </row>
    <row r="34" spans="3:6" x14ac:dyDescent="0.25">
      <c r="D34" s="23" t="s">
        <v>32</v>
      </c>
      <c r="E34" s="20" t="s">
        <v>33</v>
      </c>
      <c r="F34" s="16">
        <v>11</v>
      </c>
    </row>
    <row r="35" spans="3:6" x14ac:dyDescent="0.25"/>
    <row r="36" spans="3:6" x14ac:dyDescent="0.25">
      <c r="C36" s="4" t="s">
        <v>53</v>
      </c>
    </row>
    <row r="37" spans="3:6" x14ac:dyDescent="0.25">
      <c r="C37" s="26" t="s">
        <v>34</v>
      </c>
      <c r="D37" s="25"/>
      <c r="E37" s="25"/>
    </row>
    <row r="38" spans="3:6" x14ac:dyDescent="0.25">
      <c r="D38" s="13" t="s">
        <v>5</v>
      </c>
      <c r="E38" s="31"/>
    </row>
    <row r="39" spans="3:6" x14ac:dyDescent="0.25">
      <c r="D39" s="13" t="s">
        <v>23</v>
      </c>
      <c r="E39" s="32"/>
    </row>
    <row r="40" spans="3:6" x14ac:dyDescent="0.25"/>
    <row r="41" spans="3:6" x14ac:dyDescent="0.25">
      <c r="D41" s="14" t="s">
        <v>24</v>
      </c>
      <c r="E41" s="11" t="str">
        <f>IF(E39&gt;70,"Excelent",IF(E39&gt;=61,"Very Good",IF(E39&gt;=51,"Above Average",IF(E39&gt;=41,"Average",IF(E39&gt;=31,"Below Average",IF(E39&gt;=21,"Poor",IF(E39&lt;=21,"Very Poor",)))))))</f>
        <v>Very Poor</v>
      </c>
    </row>
    <row r="42" spans="3:6" x14ac:dyDescent="0.25">
      <c r="D42" s="1"/>
      <c r="E42" s="1"/>
    </row>
    <row r="43" spans="3:6" x14ac:dyDescent="0.25">
      <c r="C43" s="4" t="s">
        <v>54</v>
      </c>
    </row>
    <row r="44" spans="3:6" x14ac:dyDescent="0.25">
      <c r="C44" s="26" t="s">
        <v>34</v>
      </c>
      <c r="D44" s="25"/>
      <c r="E44" s="25"/>
    </row>
    <row r="45" spans="3:6" x14ac:dyDescent="0.25">
      <c r="D45" s="13" t="s">
        <v>5</v>
      </c>
      <c r="E45" s="31"/>
    </row>
    <row r="46" spans="3:6" x14ac:dyDescent="0.25">
      <c r="D46" s="13" t="s">
        <v>23</v>
      </c>
      <c r="E46" s="32"/>
    </row>
    <row r="47" spans="3:6" x14ac:dyDescent="0.25"/>
    <row r="48" spans="3:6" x14ac:dyDescent="0.25">
      <c r="D48" s="14" t="s">
        <v>24</v>
      </c>
      <c r="E48" s="11" t="str">
        <f>IF(E46&gt;60,"Excelent",IF(E46&gt;=51,"Very Good",IF(E46&gt;=41,"Above Average",IF(E46&gt;=31,"Average",IF(E46&gt;=21,"Below Average",IF(E46&gt;=11,"Poor",IF(E46&lt;=11,"Very Poor",)))))))</f>
        <v>Very Poor</v>
      </c>
    </row>
    <row r="49" spans="14:14" x14ac:dyDescent="0.25"/>
    <row r="50" spans="14:14" x14ac:dyDescent="0.25"/>
    <row r="51" spans="14:14" x14ac:dyDescent="0.25"/>
    <row r="52" spans="14:14" x14ac:dyDescent="0.25"/>
    <row r="53" spans="14:14" x14ac:dyDescent="0.25"/>
    <row r="54" spans="14:14" x14ac:dyDescent="0.25"/>
    <row r="55" spans="14:14" s="30" customFormat="1" x14ac:dyDescent="0.25">
      <c r="N55" s="29" t="s">
        <v>41</v>
      </c>
    </row>
  </sheetData>
  <sheetProtection password="8E52" sheet="1" objects="1" scenarios="1" selectLockedCells="1"/>
  <mergeCells count="2">
    <mergeCell ref="E18:F18"/>
    <mergeCell ref="E27:F27"/>
  </mergeCells>
  <hyperlinks>
    <hyperlink ref="A3" location="home!A1" display="Home" xr:uid="{0643A371-8C4D-42AA-8646-251393332E03}"/>
    <hyperlink ref="A4" location="standingBoardJump!C3" display="TES SBJ" xr:uid="{12CAF6D6-4141-4949-B20E-8629BAD72B7E}"/>
    <hyperlink ref="A5" location="verticalJump!C3" display="TES VJ" xr:uid="{D630F533-8F46-4CEC-BB64-4F46C04EF57B}"/>
    <hyperlink ref="A13" location="dbSBJPutera!A1" display="dbSBJPutera" xr:uid="{87FC0FBB-7578-4F5D-AF3C-73817CA9F061}"/>
    <hyperlink ref="A14" location="dbSBJPuteri!A1" display="dbSBJPuteri" xr:uid="{4AD7F341-315E-419D-94A4-309D3BA3868D}"/>
    <hyperlink ref="A15" location="dbVJPutera!A1" display="dbVJPutera" xr:uid="{BFA60207-E5DB-457B-B866-375195A321A0}"/>
    <hyperlink ref="A16" location="dbVJPuteri!A1" display="dbVJPuteri" xr:uid="{E09EFA00-1A88-42E5-99F4-77638F9610B9}"/>
    <hyperlink ref="A7" location="verticalJump!C6" display="Pengertian" xr:uid="{B6E1FB0F-1061-4C2F-8E3D-2BD57FF9E340}"/>
    <hyperlink ref="A8" location="verticalJump!C8" display="Prosedur" xr:uid="{DD444BA4-A487-4234-A7B6-B252EFBEAD16}"/>
    <hyperlink ref="A9" location="verticalJump!C15" display="Norma" xr:uid="{156103FA-ADB8-46E0-9222-C6C10411ACA4}"/>
    <hyperlink ref="A10" location="verticalJump!C36" display="Tes Putera" xr:uid="{48821241-F86D-4A15-9BB0-ED2A41E58CA5}"/>
    <hyperlink ref="A11" location="verticalJump!C43" display="Tes Puteri" xr:uid="{E70E8670-917D-495D-8BDC-34BF58601CF9}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dbSBJPutera</vt:lpstr>
      <vt:lpstr>dbSBJPuteri</vt:lpstr>
      <vt:lpstr>dbVJPutera</vt:lpstr>
      <vt:lpstr>dbVJPuteri</vt:lpstr>
      <vt:lpstr>standingBoardJump</vt:lpstr>
      <vt:lpstr>verticalJump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2025-07-15T07:42:17Z</dcterms:created>
  <dcterms:modified xsi:type="dcterms:W3CDTF">2025-07-15T18:11:32Z</dcterms:modified>
</cp:coreProperties>
</file>